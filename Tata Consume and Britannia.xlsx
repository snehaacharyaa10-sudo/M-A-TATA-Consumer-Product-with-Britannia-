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48cdda2453c2b5/Documents/"/>
    </mc:Choice>
  </mc:AlternateContent>
  <xr:revisionPtr revIDLastSave="496" documentId="8_{7608DE1A-3331-4C8C-888F-8280513403CE}" xr6:coauthVersionLast="47" xr6:coauthVersionMax="47" xr10:uidLastSave="{9E522A49-7CA6-40E3-960E-2EE0CF48B9D6}"/>
  <bookViews>
    <workbookView xWindow="-108" yWindow="-108" windowWidth="23256" windowHeight="12456" activeTab="1" xr2:uid="{0F97CFA7-2287-4751-87F3-AB8BE75DA247}"/>
  </bookViews>
  <sheets>
    <sheet name="Transaction" sheetId="1" r:id="rId1"/>
    <sheet name="Acquirer" sheetId="2" r:id="rId2"/>
    <sheet name="Target" sheetId="3" r:id="rId3"/>
    <sheet name="Purchase" sheetId="4" r:id="rId4"/>
    <sheet name="Financing" sheetId="5" r:id="rId5"/>
    <sheet name="Adjustment" sheetId="6" r:id="rId6"/>
    <sheet name="Pro Forma" sheetId="7" r:id="rId7"/>
    <sheet name="Accretion-Dilution" sheetId="8" r:id="rId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7" l="1"/>
  <c r="D8" i="6"/>
  <c r="D6" i="8" l="1"/>
  <c r="G9" i="7"/>
  <c r="G7" i="7"/>
  <c r="F9" i="7"/>
  <c r="E9" i="7"/>
  <c r="E10" i="7"/>
  <c r="E8" i="7"/>
  <c r="E7" i="7"/>
  <c r="D10" i="7"/>
  <c r="D9" i="7"/>
  <c r="D8" i="7"/>
  <c r="D7" i="7"/>
  <c r="D17" i="6"/>
  <c r="D16" i="6"/>
  <c r="D9" i="6"/>
  <c r="D6" i="6"/>
  <c r="D7" i="6" s="1"/>
  <c r="D10" i="6" s="1"/>
  <c r="F8" i="7" s="1"/>
  <c r="G8" i="7" s="1"/>
  <c r="G10" i="7" s="1"/>
  <c r="D14" i="5"/>
  <c r="D20" i="5"/>
  <c r="D19" i="5"/>
  <c r="D18" i="5"/>
  <c r="D17" i="5"/>
  <c r="D16" i="5"/>
  <c r="D15" i="5"/>
  <c r="D13" i="5"/>
  <c r="D7" i="5"/>
  <c r="D8" i="5" s="1"/>
  <c r="D9" i="5" s="1"/>
  <c r="D6" i="5"/>
  <c r="D23" i="4"/>
  <c r="D22" i="4"/>
  <c r="D21" i="4"/>
  <c r="D20" i="4"/>
  <c r="D19" i="4"/>
  <c r="D18" i="4"/>
  <c r="D17" i="4"/>
  <c r="D24" i="1"/>
  <c r="D23" i="1"/>
  <c r="D22" i="1"/>
  <c r="D21" i="1"/>
  <c r="D20" i="1"/>
  <c r="D18" i="1"/>
  <c r="D19" i="1"/>
  <c r="D12" i="4"/>
  <c r="D10" i="4"/>
  <c r="D11" i="4" s="1"/>
  <c r="D9" i="4"/>
  <c r="D8" i="4"/>
  <c r="D7" i="4"/>
  <c r="D6" i="4"/>
  <c r="D20" i="3"/>
  <c r="D19" i="3"/>
  <c r="D18" i="3"/>
  <c r="D17" i="3"/>
  <c r="D19" i="2"/>
  <c r="D18" i="2"/>
  <c r="D17" i="2"/>
  <c r="D16" i="2"/>
  <c r="D8" i="8" l="1"/>
  <c r="D10" i="8" s="1"/>
  <c r="D7" i="8"/>
  <c r="G12" i="7"/>
  <c r="D9" i="8" s="1"/>
  <c r="D13" i="4"/>
</calcChain>
</file>

<file path=xl/sharedStrings.xml><?xml version="1.0" encoding="utf-8"?>
<sst xmlns="http://schemas.openxmlformats.org/spreadsheetml/2006/main" count="130" uniqueCount="105">
  <si>
    <t>Hypothetical transaction | Base case uses 25% premium, 70% debt / 30% stock, normalized adjusted earnings.</t>
  </si>
  <si>
    <t>Transaction Assumptions</t>
  </si>
  <si>
    <t>TATA Consumer reference price</t>
  </si>
  <si>
    <t>Britannia reference price</t>
  </si>
  <si>
    <t>Premium</t>
  </si>
  <si>
    <t>Debt Financing %</t>
  </si>
  <si>
    <t>Stock Financing</t>
  </si>
  <si>
    <t>Tax Rate</t>
  </si>
  <si>
    <t>New debt interest rate</t>
  </si>
  <si>
    <t>Annual pre-tax cost synergy</t>
  </si>
  <si>
    <t>One time transaction</t>
  </si>
  <si>
    <t>Incremental PPA amortization / D&amp;A</t>
  </si>
  <si>
    <t>User-directed modeling range: 20%-30%; base case 25%</t>
  </si>
  <si>
    <t>User-directed modeling range: 60%-80%; base case 70%</t>
  </si>
  <si>
    <t>Model assumption</t>
  </si>
  <si>
    <t>Model assumption; sensitivity driver</t>
  </si>
  <si>
    <t>Model assumption; excluded from recurring EPS</t>
  </si>
  <si>
    <t>Simplified mini-model assumption</t>
  </si>
  <si>
    <t>TATA Consumer FY2026 guidance tax rate</t>
  </si>
  <si>
    <t>Screeener Current Price (17 Sep, 2026)</t>
  </si>
  <si>
    <t>Transaction Output</t>
  </si>
  <si>
    <t>Britannia shares outstanding</t>
  </si>
  <si>
    <t>Offer price per Britannia shares</t>
  </si>
  <si>
    <t>Equity purchase price</t>
  </si>
  <si>
    <t>Debt Consideration</t>
  </si>
  <si>
    <t>Stock Consideration</t>
  </si>
  <si>
    <t>New TATA Consumer share issued</t>
  </si>
  <si>
    <t>Implied equity purchase premium</t>
  </si>
  <si>
    <t>Model Convention</t>
  </si>
  <si>
    <t>Currency - INR</t>
  </si>
  <si>
    <t>Earnings basis - Adjusted earnings in base case</t>
  </si>
  <si>
    <t>Transaction status - Hypothetical</t>
  </si>
  <si>
    <t>Timing - Assumes full year recurring pro forma impact, no purchase accounting step-up model.</t>
  </si>
  <si>
    <t>Acquirer - TATA Consumer Product</t>
  </si>
  <si>
    <t>Acquirer Public Data</t>
  </si>
  <si>
    <t>Fiscal year sales</t>
  </si>
  <si>
    <t>Net Earnings</t>
  </si>
  <si>
    <t>Adjusted Net Earnings</t>
  </si>
  <si>
    <t>Diluted shares used for FY25 EPS</t>
  </si>
  <si>
    <t>Shares Outstanding</t>
  </si>
  <si>
    <t>Share Price</t>
  </si>
  <si>
    <t>Net Total Debt</t>
  </si>
  <si>
    <t>Adjusted EBITDA</t>
  </si>
  <si>
    <t>Calculated Metrics</t>
  </si>
  <si>
    <t>Adjusted EPS</t>
  </si>
  <si>
    <t xml:space="preserve">EPS </t>
  </si>
  <si>
    <t>Market Capitalization</t>
  </si>
  <si>
    <t>Net Debt / Adjusted EBITDA</t>
  </si>
  <si>
    <t>Cash &amp; Cash Equivalents</t>
  </si>
  <si>
    <t>Net Debt</t>
  </si>
  <si>
    <t>Mini M&amp;A Model- Tata Consumer Product &amp; Britannia</t>
  </si>
  <si>
    <t>Target - Britannia Industries Ltd.</t>
  </si>
  <si>
    <t>Target Public Data</t>
  </si>
  <si>
    <t>Screeener Current Price (18 Sep, 2026)</t>
  </si>
  <si>
    <t>Purchase Consideration</t>
  </si>
  <si>
    <t>Purchase Price</t>
  </si>
  <si>
    <t>Premium value paid</t>
  </si>
  <si>
    <t>Target net debt assumed</t>
  </si>
  <si>
    <t>Implied enterprise value</t>
  </si>
  <si>
    <t>Consideration Mix</t>
  </si>
  <si>
    <t>Debt %</t>
  </si>
  <si>
    <t>Stock %</t>
  </si>
  <si>
    <t>TATA Consumer share price</t>
  </si>
  <si>
    <t>TATA Consumer share issued</t>
  </si>
  <si>
    <t>Chech: Consideration = Equity Value</t>
  </si>
  <si>
    <t>Financing</t>
  </si>
  <si>
    <t xml:space="preserve">Debt Financing </t>
  </si>
  <si>
    <t>New acquisition debt</t>
  </si>
  <si>
    <t>Interest rate</t>
  </si>
  <si>
    <t>Annual cash interest expenses</t>
  </si>
  <si>
    <t>After-tax interest expense</t>
  </si>
  <si>
    <t>Leverage Check</t>
  </si>
  <si>
    <t>TATA Consumer existing net total debt</t>
  </si>
  <si>
    <t>Pro forma net debt before target debt assumption</t>
  </si>
  <si>
    <t>Pro forma net debt (including tax debt)</t>
  </si>
  <si>
    <t>TATA Consumer adjusted EBITDA</t>
  </si>
  <si>
    <t>Britannia adjusted EBITDA</t>
  </si>
  <si>
    <t>Combined adjusted EBITDA before synergy</t>
  </si>
  <si>
    <t>Pro forma net leverage (including target debt)</t>
  </si>
  <si>
    <t>Transaction Adjustment</t>
  </si>
  <si>
    <t>Recurring Transaction Adjustment</t>
  </si>
  <si>
    <t>Target adjusted net income</t>
  </si>
  <si>
    <t>Pre-tax cost synergy</t>
  </si>
  <si>
    <t>After-tax cost synergy</t>
  </si>
  <si>
    <t>After-tax incremental financing cost</t>
  </si>
  <si>
    <t>Non-recurring items: Not included in recurring EPS</t>
  </si>
  <si>
    <t>After-tax  one-time cost</t>
  </si>
  <si>
    <t>Pro Forma Income Statement</t>
  </si>
  <si>
    <t>Normalised / Adjusted Basis</t>
  </si>
  <si>
    <t>INR except per-share data</t>
  </si>
  <si>
    <t>Sales</t>
  </si>
  <si>
    <t>Adjusted net earning</t>
  </si>
  <si>
    <t>Diluted shares / Shares outstanding</t>
  </si>
  <si>
    <t>EPS Accretion / (Dilution)</t>
  </si>
  <si>
    <t>EPS change</t>
  </si>
  <si>
    <t>TATA Consumer Product</t>
  </si>
  <si>
    <t>Britannia</t>
  </si>
  <si>
    <t>Adjustment</t>
  </si>
  <si>
    <t>Pro Forma</t>
  </si>
  <si>
    <t>Accretion / Dilution Analysis</t>
  </si>
  <si>
    <t>Base Case Result</t>
  </si>
  <si>
    <t>TATA Consumer adjusted EPS</t>
  </si>
  <si>
    <t>Pro forma adjusted EPS</t>
  </si>
  <si>
    <t>EPS Increase / (Decrease)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</si>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</sst>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0.0"/>
    <numFmt numFmtId="166" formatCode="0.00&quot;x&quot;"/>
    <numFmt numFmtId="167" formatCode="0.0%;\ \(0.0%\)"/>
  </numFmts>
  <fonts count="9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9"/>
      <color rgb="FF666666"/>
      <name val="Cambria"/>
      <family val="1"/>
    </font>
    <font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vertical="top" wrapText="1"/>
    </xf>
    <xf numFmtId="165" fontId="5" fillId="0" borderId="0" xfId="0" applyNumberFormat="1" applyFont="1"/>
    <xf numFmtId="164" fontId="5" fillId="0" borderId="0" xfId="0" applyNumberFormat="1" applyFont="1"/>
    <xf numFmtId="0" fontId="5" fillId="0" borderId="0" xfId="0" applyFont="1"/>
    <xf numFmtId="0" fontId="0" fillId="0" borderId="0" xfId="0" applyAlignment="1">
      <alignment vertical="top" wrapText="1"/>
    </xf>
    <xf numFmtId="2" fontId="0" fillId="0" borderId="0" xfId="0" applyNumberFormat="1"/>
    <xf numFmtId="43" fontId="0" fillId="0" borderId="0" xfId="1" applyFont="1"/>
    <xf numFmtId="43" fontId="0" fillId="0" borderId="0" xfId="0" applyNumberFormat="1"/>
    <xf numFmtId="164" fontId="0" fillId="0" borderId="0" xfId="2" applyNumberFormat="1" applyFont="1"/>
    <xf numFmtId="166" fontId="0" fillId="0" borderId="0" xfId="0" applyNumberFormat="1"/>
    <xf numFmtId="0" fontId="6" fillId="0" borderId="1" xfId="0" applyFont="1" applyBorder="1"/>
    <xf numFmtId="43" fontId="6" fillId="0" borderId="1" xfId="1" applyFont="1" applyBorder="1"/>
    <xf numFmtId="43" fontId="6" fillId="0" borderId="1" xfId="1" applyFont="1" applyBorder="1" applyAlignment="1">
      <alignment horizontal="left"/>
    </xf>
    <xf numFmtId="0" fontId="7" fillId="0" borderId="2" xfId="0" applyFont="1" applyBorder="1"/>
    <xf numFmtId="0" fontId="0" fillId="0" borderId="2" xfId="0" applyBorder="1"/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167" fontId="0" fillId="0" borderId="0" xfId="2" applyNumberFormat="1" applyFont="1"/>
    <xf numFmtId="43" fontId="1" fillId="2" borderId="0" xfId="1" applyFont="1" applyFill="1" applyAlignment="1">
      <alignment horizontal="left"/>
    </xf>
    <xf numFmtId="43" fontId="2" fillId="2" borderId="0" xfId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8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E9FC-E1B7-41B9-80C3-B1197FFF4164}">
  <dimension ref="B2:J34"/>
  <sheetViews>
    <sheetView showGridLines="0" workbookViewId="0">
      <selection activeCell="G10" sqref="G10"/>
    </sheetView>
  </sheetViews>
  <sheetFormatPr defaultRowHeight="14.4" x14ac:dyDescent="0.3"/>
  <cols>
    <col min="1" max="1" width="1.88671875" customWidth="1"/>
    <col min="2" max="2" width="30.109375" bestFit="1" customWidth="1"/>
    <col min="3" max="3" width="4.5546875" customWidth="1"/>
    <col min="4" max="4" width="14.44140625" bestFit="1" customWidth="1"/>
    <col min="5" max="5" width="8.88671875" customWidth="1"/>
    <col min="6" max="6" width="41.21875" customWidth="1"/>
    <col min="13" max="13" width="8.88671875" customWidth="1"/>
  </cols>
  <sheetData>
    <row r="2" spans="2:10" ht="21" x14ac:dyDescent="0.4">
      <c r="B2" s="23" t="s">
        <v>50</v>
      </c>
      <c r="C2" s="23"/>
      <c r="D2" s="23"/>
      <c r="E2" s="23"/>
      <c r="F2" s="23"/>
      <c r="G2" s="23"/>
      <c r="H2" s="23"/>
      <c r="I2" s="23"/>
      <c r="J2" s="23"/>
    </row>
    <row r="3" spans="2:10" ht="15" customHeight="1" x14ac:dyDescent="0.3">
      <c r="B3" s="22" t="s">
        <v>0</v>
      </c>
      <c r="C3" s="22"/>
      <c r="D3" s="22"/>
      <c r="E3" s="22"/>
      <c r="F3" s="22"/>
      <c r="G3" s="22"/>
      <c r="H3" s="22"/>
      <c r="I3" s="22"/>
      <c r="J3" s="22"/>
    </row>
    <row r="4" spans="2:10" ht="15" customHeight="1" x14ac:dyDescent="0.3"/>
    <row r="5" spans="2:10" ht="14.55" customHeight="1" x14ac:dyDescent="0.3">
      <c r="B5" s="21" t="s">
        <v>1</v>
      </c>
      <c r="C5" s="21"/>
      <c r="D5" s="21"/>
      <c r="E5" s="21"/>
      <c r="F5" s="21"/>
      <c r="G5" s="21"/>
      <c r="H5" s="21"/>
      <c r="I5" s="21"/>
      <c r="J5" s="21"/>
    </row>
    <row r="6" spans="2:10" ht="14.55" customHeight="1" x14ac:dyDescent="0.3">
      <c r="B6" t="s">
        <v>2</v>
      </c>
      <c r="D6" s="2">
        <v>1014</v>
      </c>
      <c r="F6" s="1" t="s">
        <v>19</v>
      </c>
    </row>
    <row r="7" spans="2:10" ht="14.55" customHeight="1" x14ac:dyDescent="0.3">
      <c r="B7" t="s">
        <v>3</v>
      </c>
      <c r="D7" s="2">
        <v>5019</v>
      </c>
      <c r="F7" s="1" t="s">
        <v>53</v>
      </c>
    </row>
    <row r="8" spans="2:10" ht="14.55" customHeight="1" x14ac:dyDescent="0.3">
      <c r="B8" t="s">
        <v>4</v>
      </c>
      <c r="D8" s="3">
        <v>0.25</v>
      </c>
      <c r="F8" s="1" t="s">
        <v>12</v>
      </c>
    </row>
    <row r="9" spans="2:10" ht="14.55" customHeight="1" x14ac:dyDescent="0.3">
      <c r="B9" t="s">
        <v>5</v>
      </c>
      <c r="D9" s="3">
        <v>0.7</v>
      </c>
      <c r="F9" s="1" t="s">
        <v>13</v>
      </c>
    </row>
    <row r="10" spans="2:10" ht="14.55" customHeight="1" x14ac:dyDescent="0.3">
      <c r="B10" t="s">
        <v>6</v>
      </c>
      <c r="D10" s="3">
        <v>0.3</v>
      </c>
    </row>
    <row r="11" spans="2:10" ht="14.55" customHeight="1" x14ac:dyDescent="0.3">
      <c r="B11" t="s">
        <v>7</v>
      </c>
      <c r="D11" s="3">
        <v>0.24640000000000001</v>
      </c>
      <c r="F11" s="1" t="s">
        <v>18</v>
      </c>
    </row>
    <row r="12" spans="2:10" ht="14.55" customHeight="1" x14ac:dyDescent="0.3">
      <c r="B12" t="s">
        <v>8</v>
      </c>
      <c r="D12" s="3">
        <v>0.05</v>
      </c>
      <c r="F12" s="1" t="s">
        <v>14</v>
      </c>
    </row>
    <row r="13" spans="2:10" ht="14.55" customHeight="1" x14ac:dyDescent="0.3">
      <c r="B13" t="s">
        <v>9</v>
      </c>
      <c r="D13" s="4">
        <v>800</v>
      </c>
      <c r="F13" s="1" t="s">
        <v>15</v>
      </c>
    </row>
    <row r="14" spans="2:10" ht="14.55" customHeight="1" x14ac:dyDescent="0.3">
      <c r="B14" t="s">
        <v>10</v>
      </c>
      <c r="D14" s="4">
        <v>200</v>
      </c>
      <c r="F14" s="1" t="s">
        <v>16</v>
      </c>
    </row>
    <row r="15" spans="2:10" ht="14.55" customHeight="1" x14ac:dyDescent="0.3">
      <c r="B15" t="s">
        <v>11</v>
      </c>
      <c r="D15" s="4">
        <v>0</v>
      </c>
      <c r="F15" s="1" t="s">
        <v>17</v>
      </c>
    </row>
    <row r="16" spans="2:10" ht="14.55" customHeight="1" x14ac:dyDescent="0.3"/>
    <row r="17" spans="2:10" ht="15.6" x14ac:dyDescent="0.3">
      <c r="B17" s="21" t="s">
        <v>20</v>
      </c>
      <c r="C17" s="21"/>
      <c r="D17" s="21"/>
      <c r="E17" s="21"/>
      <c r="F17" s="21"/>
      <c r="G17" s="21"/>
      <c r="H17" s="21"/>
      <c r="I17" s="21"/>
      <c r="J17" s="21"/>
    </row>
    <row r="18" spans="2:10" x14ac:dyDescent="0.3">
      <c r="B18" t="s">
        <v>21</v>
      </c>
      <c r="D18" s="8">
        <f>Target!D10</f>
        <v>24.08</v>
      </c>
    </row>
    <row r="19" spans="2:10" x14ac:dyDescent="0.3">
      <c r="B19" t="s">
        <v>22</v>
      </c>
      <c r="D19">
        <f>D7*(1+D8)</f>
        <v>6273.75</v>
      </c>
    </row>
    <row r="20" spans="2:10" x14ac:dyDescent="0.3">
      <c r="B20" t="s">
        <v>23</v>
      </c>
      <c r="D20" s="8">
        <f>D18*D19</f>
        <v>151071.9</v>
      </c>
    </row>
    <row r="21" spans="2:10" x14ac:dyDescent="0.3">
      <c r="B21" t="s">
        <v>24</v>
      </c>
      <c r="D21" s="8">
        <f>D20*D9</f>
        <v>105750.32999999999</v>
      </c>
    </row>
    <row r="22" spans="2:10" x14ac:dyDescent="0.3">
      <c r="B22" t="s">
        <v>25</v>
      </c>
      <c r="D22" s="8">
        <f>D20*D10</f>
        <v>45321.57</v>
      </c>
    </row>
    <row r="23" spans="2:10" x14ac:dyDescent="0.3">
      <c r="B23" t="s">
        <v>26</v>
      </c>
      <c r="D23" s="8">
        <f>D22/D6</f>
        <v>44.695828402366864</v>
      </c>
    </row>
    <row r="24" spans="2:10" x14ac:dyDescent="0.3">
      <c r="B24" t="s">
        <v>27</v>
      </c>
      <c r="D24" s="8">
        <f>D20-(Target!D10*Transaction!D7)</f>
        <v>30214.380000000005</v>
      </c>
    </row>
    <row r="26" spans="2:10" ht="15.6" x14ac:dyDescent="0.3">
      <c r="B26" s="21" t="s">
        <v>28</v>
      </c>
      <c r="C26" s="21"/>
      <c r="D26" s="21"/>
      <c r="E26" s="21"/>
      <c r="F26" s="21"/>
      <c r="G26" s="21"/>
      <c r="H26" s="21"/>
      <c r="I26" s="21"/>
      <c r="J26" s="21"/>
    </row>
    <row r="27" spans="2:10" x14ac:dyDescent="0.3">
      <c r="B27" s="5" t="s">
        <v>29</v>
      </c>
    </row>
    <row r="28" spans="2:10" ht="28.8" x14ac:dyDescent="0.3">
      <c r="B28" s="5" t="s">
        <v>30</v>
      </c>
    </row>
    <row r="29" spans="2:10" x14ac:dyDescent="0.3">
      <c r="B29" s="5" t="s">
        <v>31</v>
      </c>
    </row>
    <row r="30" spans="2:10" ht="43.2" x14ac:dyDescent="0.3">
      <c r="B30" s="5" t="s">
        <v>32</v>
      </c>
    </row>
    <row r="32" spans="2:10" x14ac:dyDescent="0.3">
      <c r="B32" s="5"/>
    </row>
    <row r="33" spans="2:2" x14ac:dyDescent="0.3">
      <c r="B33" s="5"/>
    </row>
    <row r="34" spans="2:2" x14ac:dyDescent="0.3">
      <c r="B34" s="5"/>
    </row>
  </sheetData>
  <mergeCells count="5">
    <mergeCell ref="B17:J17"/>
    <mergeCell ref="B3:J3"/>
    <mergeCell ref="B2:J2"/>
    <mergeCell ref="B5:J5"/>
    <mergeCell ref="B26:J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A0AD-5D29-4589-8BD1-7A347032BDD7}">
  <dimension ref="B2:J19"/>
  <sheetViews>
    <sheetView showGridLines="0" tabSelected="1" workbookViewId="0">
      <selection activeCell="E25" sqref="E25"/>
    </sheetView>
  </sheetViews>
  <sheetFormatPr defaultRowHeight="14.4" x14ac:dyDescent="0.3"/>
  <cols>
    <col min="1" max="1" width="1.88671875" customWidth="1"/>
    <col min="2" max="2" width="27.44140625" bestFit="1" customWidth="1"/>
    <col min="3" max="3" width="4.33203125" customWidth="1"/>
    <col min="4" max="4" width="12.5546875" bestFit="1" customWidth="1"/>
  </cols>
  <sheetData>
    <row r="2" spans="2:10" ht="21" x14ac:dyDescent="0.4">
      <c r="B2" s="23" t="s">
        <v>33</v>
      </c>
      <c r="C2" s="23"/>
      <c r="D2" s="23"/>
      <c r="E2" s="23"/>
      <c r="F2" s="23"/>
      <c r="G2" s="23"/>
      <c r="H2" s="23"/>
      <c r="I2" s="23"/>
      <c r="J2" s="23"/>
    </row>
    <row r="5" spans="2:10" ht="15.6" x14ac:dyDescent="0.3">
      <c r="B5" s="21" t="s">
        <v>34</v>
      </c>
      <c r="C5" s="21"/>
      <c r="D5" s="21"/>
      <c r="E5" s="21"/>
      <c r="F5" s="21"/>
      <c r="G5" s="21"/>
      <c r="H5" s="21"/>
      <c r="I5" s="21"/>
      <c r="J5" s="21"/>
    </row>
    <row r="6" spans="2:10" x14ac:dyDescent="0.3">
      <c r="B6" s="7" t="s">
        <v>35</v>
      </c>
      <c r="C6" s="7"/>
      <c r="D6" s="7">
        <v>20290</v>
      </c>
      <c r="E6" s="7"/>
      <c r="F6" s="7"/>
      <c r="G6" s="7"/>
      <c r="H6" s="7"/>
      <c r="I6" s="7"/>
      <c r="J6" s="7"/>
    </row>
    <row r="7" spans="2:10" x14ac:dyDescent="0.3">
      <c r="B7" s="7" t="s">
        <v>36</v>
      </c>
      <c r="C7" s="7"/>
      <c r="D7" s="7">
        <v>1542.3</v>
      </c>
      <c r="E7" s="7"/>
      <c r="F7" s="7"/>
      <c r="G7" s="7"/>
      <c r="H7" s="7"/>
      <c r="I7" s="7"/>
      <c r="J7" s="7"/>
    </row>
    <row r="8" spans="2:10" x14ac:dyDescent="0.3">
      <c r="B8" s="7" t="s">
        <v>37</v>
      </c>
      <c r="C8" s="7"/>
      <c r="D8" s="7">
        <v>1552</v>
      </c>
      <c r="E8" s="7"/>
      <c r="F8" s="7"/>
      <c r="G8" s="7"/>
      <c r="H8" s="7"/>
      <c r="I8" s="7"/>
      <c r="J8" s="7"/>
    </row>
    <row r="9" spans="2:10" x14ac:dyDescent="0.3">
      <c r="B9" s="7" t="s">
        <v>38</v>
      </c>
      <c r="C9" s="7"/>
      <c r="D9" s="7">
        <v>99.01</v>
      </c>
      <c r="E9" s="7"/>
      <c r="F9" s="7"/>
      <c r="G9" s="7"/>
      <c r="H9" s="7"/>
      <c r="I9" s="7"/>
      <c r="J9" s="7"/>
    </row>
    <row r="10" spans="2:10" x14ac:dyDescent="0.3">
      <c r="B10" s="7" t="s">
        <v>39</v>
      </c>
      <c r="C10" s="7"/>
      <c r="D10" s="7">
        <v>98.95</v>
      </c>
      <c r="E10" s="7"/>
      <c r="F10" s="7"/>
      <c r="G10" s="7"/>
      <c r="H10" s="7"/>
      <c r="I10" s="7"/>
      <c r="J10" s="7"/>
    </row>
    <row r="11" spans="2:10" x14ac:dyDescent="0.3">
      <c r="B11" s="7" t="s">
        <v>40</v>
      </c>
      <c r="C11" s="7"/>
      <c r="D11" s="7">
        <v>1014.45</v>
      </c>
      <c r="E11" s="7"/>
      <c r="F11" s="7"/>
      <c r="G11" s="7"/>
      <c r="H11" s="7"/>
      <c r="I11" s="7"/>
      <c r="J11" s="7"/>
    </row>
    <row r="12" spans="2:10" x14ac:dyDescent="0.3">
      <c r="B12" s="7" t="s">
        <v>41</v>
      </c>
      <c r="C12" s="7"/>
      <c r="D12" s="7">
        <v>2978</v>
      </c>
      <c r="E12" s="7"/>
      <c r="F12" s="7"/>
      <c r="G12" s="7"/>
      <c r="H12" s="7"/>
      <c r="I12" s="7"/>
      <c r="J12" s="7"/>
    </row>
    <row r="13" spans="2:10" x14ac:dyDescent="0.3">
      <c r="B13" s="7" t="s">
        <v>42</v>
      </c>
      <c r="C13" s="7"/>
      <c r="D13" s="7">
        <v>2815</v>
      </c>
      <c r="E13" s="7"/>
      <c r="F13" s="7"/>
      <c r="G13" s="7"/>
      <c r="H13" s="7"/>
      <c r="I13" s="7"/>
      <c r="J13" s="7"/>
    </row>
    <row r="14" spans="2:10" x14ac:dyDescent="0.3">
      <c r="B14" s="7"/>
      <c r="C14" s="7"/>
      <c r="D14" s="7"/>
      <c r="E14" s="7"/>
      <c r="F14" s="7"/>
      <c r="G14" s="7"/>
      <c r="H14" s="7"/>
      <c r="I14" s="7"/>
      <c r="J14" s="7"/>
    </row>
    <row r="15" spans="2:10" ht="15.6" x14ac:dyDescent="0.3">
      <c r="B15" s="20" t="s">
        <v>43</v>
      </c>
      <c r="C15" s="20"/>
      <c r="D15" s="20"/>
      <c r="E15" s="20"/>
      <c r="F15" s="20"/>
      <c r="G15" s="20"/>
      <c r="H15" s="20"/>
      <c r="I15" s="20"/>
      <c r="J15" s="20"/>
    </row>
    <row r="16" spans="2:10" x14ac:dyDescent="0.3">
      <c r="B16" s="7" t="s">
        <v>44</v>
      </c>
      <c r="C16" s="7"/>
      <c r="D16" s="7">
        <f>D8/D10</f>
        <v>15.684689236988378</v>
      </c>
      <c r="E16" s="7"/>
      <c r="F16" s="7"/>
      <c r="G16" s="7"/>
      <c r="H16" s="7"/>
      <c r="I16" s="7"/>
      <c r="J16" s="7"/>
    </row>
    <row r="17" spans="2:10" x14ac:dyDescent="0.3">
      <c r="B17" s="7" t="s">
        <v>45</v>
      </c>
      <c r="C17" s="7"/>
      <c r="D17" s="7">
        <f>D7/D10</f>
        <v>15.5866599292572</v>
      </c>
      <c r="E17" s="7"/>
      <c r="F17" s="7"/>
      <c r="G17" s="7"/>
      <c r="H17" s="7"/>
      <c r="I17" s="7"/>
      <c r="J17" s="7"/>
    </row>
    <row r="18" spans="2:10" x14ac:dyDescent="0.3">
      <c r="B18" s="7" t="s">
        <v>46</v>
      </c>
      <c r="C18" s="7"/>
      <c r="D18" s="7">
        <f>D10*D11</f>
        <v>100379.82750000001</v>
      </c>
      <c r="E18" s="7"/>
      <c r="F18" s="7"/>
      <c r="G18" s="7"/>
      <c r="H18" s="7"/>
      <c r="I18" s="7"/>
      <c r="J18" s="7"/>
    </row>
    <row r="19" spans="2:10" x14ac:dyDescent="0.3">
      <c r="B19" s="7" t="s">
        <v>47</v>
      </c>
      <c r="C19" s="7"/>
      <c r="D19" s="7">
        <f>D12/D13</f>
        <v>1.0579040852575488</v>
      </c>
      <c r="E19" s="7"/>
      <c r="F19" s="7"/>
      <c r="G19" s="7"/>
      <c r="H19" s="7"/>
      <c r="I19" s="7"/>
      <c r="J19" s="7"/>
    </row>
  </sheetData>
  <mergeCells count="3">
    <mergeCell ref="B2:J2"/>
    <mergeCell ref="B5:J5"/>
    <mergeCell ref="B15:J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EEF8-1E5B-423D-91D5-E1ACB66642F9}">
  <dimension ref="B2:J20"/>
  <sheetViews>
    <sheetView showGridLines="0" workbookViewId="0">
      <selection activeCell="B5" sqref="B5:J14"/>
    </sheetView>
  </sheetViews>
  <sheetFormatPr defaultRowHeight="14.4" x14ac:dyDescent="0.3"/>
  <cols>
    <col min="1" max="1" width="1.88671875" customWidth="1"/>
    <col min="2" max="2" width="27.44140625" bestFit="1" customWidth="1"/>
    <col min="3" max="3" width="4.6640625" customWidth="1"/>
    <col min="4" max="4" width="11.5546875" bestFit="1" customWidth="1"/>
  </cols>
  <sheetData>
    <row r="2" spans="2:10" ht="21" x14ac:dyDescent="0.4">
      <c r="B2" s="23" t="s">
        <v>51</v>
      </c>
      <c r="C2" s="23"/>
      <c r="D2" s="23"/>
      <c r="E2" s="23"/>
      <c r="F2" s="23"/>
      <c r="G2" s="23"/>
      <c r="H2" s="23"/>
      <c r="I2" s="23"/>
      <c r="J2" s="23"/>
    </row>
    <row r="5" spans="2:10" ht="15.6" x14ac:dyDescent="0.3">
      <c r="B5" s="21" t="s">
        <v>52</v>
      </c>
      <c r="C5" s="21"/>
      <c r="D5" s="21"/>
      <c r="E5" s="21"/>
      <c r="F5" s="21"/>
      <c r="G5" s="21"/>
      <c r="H5" s="21"/>
      <c r="I5" s="21"/>
      <c r="J5" s="21"/>
    </row>
    <row r="6" spans="2:10" x14ac:dyDescent="0.3">
      <c r="B6" t="s">
        <v>35</v>
      </c>
      <c r="D6" s="7">
        <v>19151.59</v>
      </c>
    </row>
    <row r="7" spans="2:10" x14ac:dyDescent="0.3">
      <c r="B7" t="s">
        <v>36</v>
      </c>
      <c r="D7" s="7">
        <v>2533.4899999999998</v>
      </c>
    </row>
    <row r="8" spans="2:10" x14ac:dyDescent="0.3">
      <c r="B8" t="s">
        <v>37</v>
      </c>
      <c r="D8" s="7">
        <v>2440.9</v>
      </c>
    </row>
    <row r="9" spans="2:10" x14ac:dyDescent="0.3">
      <c r="B9" t="s">
        <v>38</v>
      </c>
      <c r="D9" s="7">
        <v>24.09</v>
      </c>
    </row>
    <row r="10" spans="2:10" x14ac:dyDescent="0.3">
      <c r="B10" t="s">
        <v>39</v>
      </c>
      <c r="D10" s="7">
        <v>24.08</v>
      </c>
    </row>
    <row r="11" spans="2:10" x14ac:dyDescent="0.3">
      <c r="B11" t="s">
        <v>40</v>
      </c>
      <c r="D11" s="7">
        <v>5019</v>
      </c>
    </row>
    <row r="12" spans="2:10" x14ac:dyDescent="0.3">
      <c r="B12" t="s">
        <v>41</v>
      </c>
      <c r="D12" s="7">
        <v>1127.78</v>
      </c>
    </row>
    <row r="13" spans="2:10" x14ac:dyDescent="0.3">
      <c r="B13" t="s">
        <v>42</v>
      </c>
      <c r="D13" s="7">
        <v>3547.3</v>
      </c>
    </row>
    <row r="14" spans="2:10" x14ac:dyDescent="0.3">
      <c r="B14" t="s">
        <v>48</v>
      </c>
      <c r="D14" s="7">
        <v>220</v>
      </c>
    </row>
    <row r="16" spans="2:10" ht="15.6" x14ac:dyDescent="0.3">
      <c r="B16" s="21" t="s">
        <v>43</v>
      </c>
      <c r="C16" s="21"/>
      <c r="D16" s="21"/>
      <c r="E16" s="21"/>
      <c r="F16" s="21"/>
      <c r="G16" s="21"/>
      <c r="H16" s="21"/>
      <c r="I16" s="21"/>
      <c r="J16" s="21"/>
    </row>
    <row r="17" spans="2:4" x14ac:dyDescent="0.3">
      <c r="B17" t="s">
        <v>44</v>
      </c>
      <c r="D17" s="7">
        <f>D8/D10</f>
        <v>101.36627906976746</v>
      </c>
    </row>
    <row r="18" spans="2:4" x14ac:dyDescent="0.3">
      <c r="B18" t="s">
        <v>45</v>
      </c>
      <c r="D18" s="7">
        <f>D7/D10</f>
        <v>105.21137873754152</v>
      </c>
    </row>
    <row r="19" spans="2:4" x14ac:dyDescent="0.3">
      <c r="B19" t="s">
        <v>46</v>
      </c>
      <c r="D19" s="7">
        <f>D11*D10</f>
        <v>120857.51999999999</v>
      </c>
    </row>
    <row r="20" spans="2:4" x14ac:dyDescent="0.3">
      <c r="B20" t="s">
        <v>49</v>
      </c>
      <c r="D20" s="7">
        <f>D12</f>
        <v>1127.78</v>
      </c>
    </row>
  </sheetData>
  <mergeCells count="3">
    <mergeCell ref="B2:J2"/>
    <mergeCell ref="B5:J5"/>
    <mergeCell ref="B16:J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0186-F176-4500-BB81-71EB46E3A963}">
  <dimension ref="B2:J23"/>
  <sheetViews>
    <sheetView showGridLines="0" workbookViewId="0">
      <selection activeCell="D7" sqref="D7"/>
    </sheetView>
  </sheetViews>
  <sheetFormatPr defaultRowHeight="14.4" x14ac:dyDescent="0.3"/>
  <cols>
    <col min="1" max="1" width="1.88671875" customWidth="1"/>
    <col min="2" max="2" width="30.21875" bestFit="1" customWidth="1"/>
    <col min="3" max="3" width="3.88671875" customWidth="1"/>
    <col min="4" max="4" width="11.77734375" bestFit="1" customWidth="1"/>
  </cols>
  <sheetData>
    <row r="2" spans="2:10" ht="21" x14ac:dyDescent="0.4">
      <c r="B2" s="23" t="s">
        <v>54</v>
      </c>
      <c r="C2" s="23"/>
      <c r="D2" s="23"/>
      <c r="E2" s="23"/>
      <c r="F2" s="23"/>
      <c r="G2" s="23"/>
      <c r="H2" s="23"/>
      <c r="I2" s="23"/>
      <c r="J2" s="23"/>
    </row>
    <row r="5" spans="2:10" ht="15.6" x14ac:dyDescent="0.3">
      <c r="B5" s="21" t="s">
        <v>55</v>
      </c>
      <c r="C5" s="21"/>
      <c r="D5" s="21"/>
      <c r="E5" s="21"/>
      <c r="F5" s="21"/>
      <c r="G5" s="21"/>
      <c r="H5" s="21"/>
      <c r="I5" s="21"/>
      <c r="J5" s="21"/>
    </row>
    <row r="6" spans="2:10" x14ac:dyDescent="0.3">
      <c r="B6" t="s">
        <v>3</v>
      </c>
      <c r="D6" s="7">
        <f>Transaction!D7</f>
        <v>5019</v>
      </c>
    </row>
    <row r="7" spans="2:10" x14ac:dyDescent="0.3">
      <c r="B7" t="s">
        <v>4</v>
      </c>
      <c r="D7" s="9">
        <f>Transaction!D8</f>
        <v>0.25</v>
      </c>
    </row>
    <row r="8" spans="2:10" x14ac:dyDescent="0.3">
      <c r="B8" t="s">
        <v>22</v>
      </c>
      <c r="D8" s="7">
        <f>Transaction!D19</f>
        <v>6273.75</v>
      </c>
    </row>
    <row r="9" spans="2:10" x14ac:dyDescent="0.3">
      <c r="B9" t="s">
        <v>39</v>
      </c>
      <c r="D9" s="7">
        <f>Target!D10</f>
        <v>24.08</v>
      </c>
    </row>
    <row r="10" spans="2:10" x14ac:dyDescent="0.3">
      <c r="B10" t="s">
        <v>23</v>
      </c>
      <c r="D10" s="7">
        <f>D8*D9</f>
        <v>151071.9</v>
      </c>
    </row>
    <row r="11" spans="2:10" x14ac:dyDescent="0.3">
      <c r="B11" t="s">
        <v>56</v>
      </c>
      <c r="D11" s="7">
        <f>D10-(D6*D9)</f>
        <v>30214.380000000005</v>
      </c>
    </row>
    <row r="12" spans="2:10" x14ac:dyDescent="0.3">
      <c r="B12" t="s">
        <v>57</v>
      </c>
      <c r="D12" s="7">
        <f>Target!D20</f>
        <v>1127.78</v>
      </c>
    </row>
    <row r="13" spans="2:10" x14ac:dyDescent="0.3">
      <c r="B13" t="s">
        <v>58</v>
      </c>
      <c r="D13" s="7">
        <f>D10+D12</f>
        <v>152199.67999999999</v>
      </c>
    </row>
    <row r="16" spans="2:10" ht="15.6" x14ac:dyDescent="0.3">
      <c r="B16" s="21" t="s">
        <v>59</v>
      </c>
      <c r="C16" s="21"/>
      <c r="D16" s="21"/>
      <c r="E16" s="21"/>
      <c r="F16" s="21"/>
      <c r="G16" s="21"/>
      <c r="H16" s="21"/>
      <c r="I16" s="21"/>
      <c r="J16" s="21"/>
    </row>
    <row r="17" spans="2:4" x14ac:dyDescent="0.3">
      <c r="B17" t="s">
        <v>60</v>
      </c>
      <c r="D17" s="9">
        <f>Transaction!D9</f>
        <v>0.7</v>
      </c>
    </row>
    <row r="18" spans="2:4" x14ac:dyDescent="0.3">
      <c r="B18" t="s">
        <v>61</v>
      </c>
      <c r="D18" s="9">
        <f>Transaction!D10</f>
        <v>0.3</v>
      </c>
    </row>
    <row r="19" spans="2:4" x14ac:dyDescent="0.3">
      <c r="B19" t="s">
        <v>24</v>
      </c>
      <c r="D19" s="8">
        <f>D10*D17</f>
        <v>105750.32999999999</v>
      </c>
    </row>
    <row r="20" spans="2:4" x14ac:dyDescent="0.3">
      <c r="B20" t="s">
        <v>25</v>
      </c>
      <c r="D20" s="8">
        <f>D10*D18</f>
        <v>45321.57</v>
      </c>
    </row>
    <row r="21" spans="2:4" x14ac:dyDescent="0.3">
      <c r="B21" t="s">
        <v>62</v>
      </c>
      <c r="D21" s="8">
        <f>Acquirer!D11</f>
        <v>1014.45</v>
      </c>
    </row>
    <row r="22" spans="2:4" x14ac:dyDescent="0.3">
      <c r="B22" t="s">
        <v>63</v>
      </c>
      <c r="D22" s="6">
        <f>D20/D21</f>
        <v>44.676001774360486</v>
      </c>
    </row>
    <row r="23" spans="2:4" x14ac:dyDescent="0.3">
      <c r="B23" t="s">
        <v>64</v>
      </c>
      <c r="D23" s="8">
        <f>D19+D20-D10</f>
        <v>0</v>
      </c>
    </row>
  </sheetData>
  <mergeCells count="3">
    <mergeCell ref="B2:J2"/>
    <mergeCell ref="B5:J5"/>
    <mergeCell ref="B16:J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265C-A501-49ED-924C-A67E0173C521}">
  <dimension ref="B2:J20"/>
  <sheetViews>
    <sheetView showGridLines="0" workbookViewId="0">
      <selection activeCell="B5" sqref="B5:J5"/>
    </sheetView>
  </sheetViews>
  <sheetFormatPr defaultRowHeight="14.4" x14ac:dyDescent="0.3"/>
  <cols>
    <col min="1" max="1" width="1.88671875" customWidth="1"/>
    <col min="2" max="2" width="40.5546875" bestFit="1" customWidth="1"/>
    <col min="3" max="3" width="3.109375" customWidth="1"/>
    <col min="4" max="4" width="11.21875" bestFit="1" customWidth="1"/>
  </cols>
  <sheetData>
    <row r="2" spans="2:10" ht="21" x14ac:dyDescent="0.4">
      <c r="B2" s="23" t="s">
        <v>65</v>
      </c>
      <c r="C2" s="23"/>
      <c r="D2" s="23"/>
      <c r="E2" s="23"/>
      <c r="F2" s="23"/>
      <c r="G2" s="23"/>
      <c r="H2" s="23"/>
      <c r="I2" s="23"/>
      <c r="J2" s="23"/>
    </row>
    <row r="5" spans="2:10" ht="15.6" x14ac:dyDescent="0.3">
      <c r="B5" s="21" t="s">
        <v>66</v>
      </c>
      <c r="C5" s="21"/>
      <c r="D5" s="21"/>
      <c r="E5" s="21"/>
      <c r="F5" s="21"/>
      <c r="G5" s="21"/>
      <c r="H5" s="21"/>
      <c r="I5" s="21"/>
      <c r="J5" s="21"/>
    </row>
    <row r="6" spans="2:10" x14ac:dyDescent="0.3">
      <c r="B6" t="s">
        <v>67</v>
      </c>
      <c r="D6" s="8">
        <f>Purchase!D19</f>
        <v>105750.32999999999</v>
      </c>
    </row>
    <row r="7" spans="2:10" x14ac:dyDescent="0.3">
      <c r="B7" t="s">
        <v>68</v>
      </c>
      <c r="D7" s="9">
        <f>Transaction!D12</f>
        <v>0.05</v>
      </c>
    </row>
    <row r="8" spans="2:10" x14ac:dyDescent="0.3">
      <c r="B8" t="s">
        <v>69</v>
      </c>
      <c r="D8" s="8">
        <f>D6*D7</f>
        <v>5287.5164999999997</v>
      </c>
    </row>
    <row r="9" spans="2:10" x14ac:dyDescent="0.3">
      <c r="B9" t="s">
        <v>70</v>
      </c>
      <c r="D9" s="8">
        <f>D8*(1-Transaction!D11)</f>
        <v>3984.6724343999999</v>
      </c>
    </row>
    <row r="12" spans="2:10" ht="15.6" x14ac:dyDescent="0.3">
      <c r="B12" s="21" t="s">
        <v>71</v>
      </c>
      <c r="C12" s="21"/>
      <c r="D12" s="21"/>
      <c r="E12" s="21"/>
      <c r="F12" s="21"/>
      <c r="G12" s="21"/>
      <c r="H12" s="21"/>
      <c r="I12" s="21"/>
      <c r="J12" s="21"/>
    </row>
    <row r="13" spans="2:10" x14ac:dyDescent="0.3">
      <c r="B13" t="s">
        <v>72</v>
      </c>
      <c r="D13" s="8">
        <f>Acquirer!D12</f>
        <v>2978</v>
      </c>
    </row>
    <row r="14" spans="2:10" x14ac:dyDescent="0.3">
      <c r="B14" t="s">
        <v>73</v>
      </c>
      <c r="D14" s="8">
        <f>D13+D6</f>
        <v>108728.32999999999</v>
      </c>
    </row>
    <row r="15" spans="2:10" x14ac:dyDescent="0.3">
      <c r="B15" t="s">
        <v>57</v>
      </c>
      <c r="D15" s="8">
        <f>Target!D20</f>
        <v>1127.78</v>
      </c>
    </row>
    <row r="16" spans="2:10" x14ac:dyDescent="0.3">
      <c r="B16" t="s">
        <v>74</v>
      </c>
      <c r="D16" s="8">
        <f>D14+D15</f>
        <v>109856.10999999999</v>
      </c>
    </row>
    <row r="17" spans="2:4" x14ac:dyDescent="0.3">
      <c r="B17" t="s">
        <v>75</v>
      </c>
      <c r="D17" s="8">
        <f>Acquirer!D13</f>
        <v>2815</v>
      </c>
    </row>
    <row r="18" spans="2:4" x14ac:dyDescent="0.3">
      <c r="B18" t="s">
        <v>76</v>
      </c>
      <c r="D18" s="8">
        <f>Target!D13</f>
        <v>3547.3</v>
      </c>
    </row>
    <row r="19" spans="2:4" x14ac:dyDescent="0.3">
      <c r="B19" t="s">
        <v>77</v>
      </c>
      <c r="D19" s="8">
        <f>D17+D18</f>
        <v>6362.3</v>
      </c>
    </row>
    <row r="20" spans="2:4" x14ac:dyDescent="0.3">
      <c r="B20" t="s">
        <v>78</v>
      </c>
      <c r="D20" s="10">
        <f>D16/D19</f>
        <v>17.266729013092746</v>
      </c>
    </row>
  </sheetData>
  <mergeCells count="3">
    <mergeCell ref="B2:J2"/>
    <mergeCell ref="B5:J5"/>
    <mergeCell ref="B12:J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FDCB-F783-4AE6-848E-AD855B0E643A}">
  <dimension ref="B1:K17"/>
  <sheetViews>
    <sheetView showGridLines="0" workbookViewId="0">
      <selection activeCell="F23" sqref="F23"/>
    </sheetView>
  </sheetViews>
  <sheetFormatPr defaultRowHeight="14.4" x14ac:dyDescent="0.3"/>
  <cols>
    <col min="1" max="1" width="1.88671875" customWidth="1"/>
    <col min="2" max="2" width="30.109375" bestFit="1" customWidth="1"/>
    <col min="3" max="3" width="4.6640625" customWidth="1"/>
    <col min="4" max="4" width="10.109375" bestFit="1" customWidth="1"/>
  </cols>
  <sheetData>
    <row r="1" spans="2:11" x14ac:dyDescent="0.3">
      <c r="B1" s="7"/>
      <c r="C1" s="7"/>
      <c r="D1" s="7"/>
      <c r="E1" s="7"/>
      <c r="F1" s="7"/>
      <c r="G1" s="7"/>
      <c r="H1" s="7"/>
      <c r="I1" s="7"/>
      <c r="J1" s="7"/>
      <c r="K1" s="7"/>
    </row>
    <row r="2" spans="2:11" ht="21" x14ac:dyDescent="0.4">
      <c r="B2" s="19" t="s">
        <v>79</v>
      </c>
      <c r="C2" s="19"/>
      <c r="D2" s="19"/>
      <c r="E2" s="19"/>
      <c r="F2" s="19"/>
      <c r="G2" s="19"/>
      <c r="H2" s="19"/>
      <c r="I2" s="19"/>
      <c r="J2" s="19"/>
      <c r="K2" s="7"/>
    </row>
    <row r="3" spans="2:11" x14ac:dyDescent="0.3">
      <c r="B3" s="7"/>
      <c r="C3" s="7"/>
      <c r="D3" s="7"/>
      <c r="E3" s="7"/>
      <c r="F3" s="7"/>
      <c r="G3" s="7"/>
      <c r="H3" s="7"/>
      <c r="I3" s="7"/>
      <c r="J3" s="7"/>
      <c r="K3" s="7"/>
    </row>
    <row r="4" spans="2:11" ht="15.6" x14ac:dyDescent="0.3">
      <c r="B4" s="20" t="s">
        <v>80</v>
      </c>
      <c r="C4" s="20"/>
      <c r="D4" s="20"/>
      <c r="E4" s="20"/>
      <c r="F4" s="20"/>
      <c r="G4" s="20"/>
      <c r="H4" s="20"/>
      <c r="I4" s="20"/>
      <c r="J4" s="20"/>
      <c r="K4" s="7"/>
    </row>
    <row r="5" spans="2:11" x14ac:dyDescent="0.3">
      <c r="B5" s="7" t="s">
        <v>81</v>
      </c>
      <c r="C5" s="7"/>
      <c r="D5" s="7"/>
      <c r="E5" s="7"/>
      <c r="F5" s="7"/>
      <c r="G5" s="7"/>
      <c r="H5" s="7"/>
      <c r="I5" s="7"/>
      <c r="J5" s="7"/>
      <c r="K5" s="7"/>
    </row>
    <row r="6" spans="2:11" x14ac:dyDescent="0.3">
      <c r="B6" s="7" t="s">
        <v>82</v>
      </c>
      <c r="C6" s="7"/>
      <c r="D6" s="7">
        <f>Transaction!D13</f>
        <v>800</v>
      </c>
      <c r="E6" s="7"/>
      <c r="F6" s="7"/>
      <c r="G6" s="7"/>
      <c r="H6" s="7"/>
      <c r="I6" s="7"/>
      <c r="J6" s="7"/>
      <c r="K6" s="7"/>
    </row>
    <row r="7" spans="2:11" x14ac:dyDescent="0.3">
      <c r="B7" s="7" t="s">
        <v>83</v>
      </c>
      <c r="C7" s="7"/>
      <c r="D7" s="7">
        <f>D6*(1-Transaction!D11)</f>
        <v>602.88</v>
      </c>
      <c r="E7" s="7"/>
      <c r="F7" s="7"/>
      <c r="G7" s="7"/>
      <c r="H7" s="7"/>
      <c r="I7" s="7"/>
      <c r="J7" s="7"/>
      <c r="K7" s="7"/>
    </row>
    <row r="8" spans="2:11" x14ac:dyDescent="0.3">
      <c r="B8" s="7" t="s">
        <v>84</v>
      </c>
      <c r="C8" s="7"/>
      <c r="D8" s="7">
        <f>-Financing!D9</f>
        <v>-3984.6724343999999</v>
      </c>
      <c r="E8" s="7"/>
      <c r="F8" s="7"/>
      <c r="G8" s="7"/>
      <c r="H8" s="7"/>
      <c r="I8" s="7"/>
      <c r="J8" s="7"/>
      <c r="K8" s="7"/>
    </row>
    <row r="9" spans="2:11" x14ac:dyDescent="0.3">
      <c r="B9" s="7" t="s">
        <v>11</v>
      </c>
      <c r="C9" s="7"/>
      <c r="D9" s="7">
        <f>Transaction!D15</f>
        <v>0</v>
      </c>
      <c r="E9" s="7"/>
      <c r="F9" s="7"/>
      <c r="G9" s="7"/>
      <c r="H9" s="7"/>
      <c r="I9" s="7"/>
      <c r="J9" s="7"/>
      <c r="K9" s="7"/>
    </row>
    <row r="10" spans="2:11" x14ac:dyDescent="0.3">
      <c r="B10" s="13" t="s">
        <v>80</v>
      </c>
      <c r="C10" s="12"/>
      <c r="D10" s="12">
        <f>SUM(D5:D9)</f>
        <v>-2581.7924343999998</v>
      </c>
      <c r="E10" s="7"/>
      <c r="F10" s="7"/>
      <c r="G10" s="7"/>
      <c r="H10" s="7"/>
      <c r="I10" s="7"/>
      <c r="J10" s="7"/>
      <c r="K10" s="7"/>
    </row>
    <row r="11" spans="2:11" x14ac:dyDescent="0.3">
      <c r="E11" s="7"/>
      <c r="F11" s="7"/>
      <c r="G11" s="7"/>
      <c r="H11" s="7"/>
      <c r="I11" s="7"/>
      <c r="J11" s="7"/>
      <c r="K11" s="7"/>
    </row>
    <row r="12" spans="2:11" x14ac:dyDescent="0.3"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2:11" x14ac:dyDescent="0.3"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2:11" x14ac:dyDescent="0.3"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2:11" ht="15.6" x14ac:dyDescent="0.3">
      <c r="B15" s="20" t="s">
        <v>85</v>
      </c>
      <c r="C15" s="20"/>
      <c r="D15" s="20"/>
      <c r="E15" s="20"/>
      <c r="F15" s="20"/>
      <c r="G15" s="20"/>
      <c r="H15" s="20"/>
      <c r="I15" s="20"/>
      <c r="J15" s="20"/>
      <c r="K15" s="7"/>
    </row>
    <row r="16" spans="2:11" x14ac:dyDescent="0.3">
      <c r="B16" s="7" t="s">
        <v>10</v>
      </c>
      <c r="C16" s="7"/>
      <c r="D16" s="7">
        <f>Transaction!D14</f>
        <v>200</v>
      </c>
      <c r="E16" s="7"/>
      <c r="F16" s="7"/>
      <c r="G16" s="7"/>
      <c r="H16" s="7"/>
      <c r="I16" s="7"/>
      <c r="J16" s="7"/>
      <c r="K16" s="7"/>
    </row>
    <row r="17" spans="2:11" x14ac:dyDescent="0.3">
      <c r="B17" s="7" t="s">
        <v>86</v>
      </c>
      <c r="C17" s="7"/>
      <c r="D17" s="7">
        <f>D16*(1-Transaction!D11)</f>
        <v>150.72</v>
      </c>
      <c r="E17" s="7"/>
      <c r="F17" s="7"/>
      <c r="G17" s="7"/>
      <c r="H17" s="7"/>
      <c r="I17" s="7"/>
      <c r="J17" s="7"/>
      <c r="K17" s="7"/>
    </row>
  </sheetData>
  <mergeCells count="3">
    <mergeCell ref="B2:J2"/>
    <mergeCell ref="B4:J4"/>
    <mergeCell ref="B15:J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586D-3007-43F4-92A1-585C4CB7A835}">
  <dimension ref="B2:J12"/>
  <sheetViews>
    <sheetView showGridLines="0" workbookViewId="0">
      <selection activeCell="G11" sqref="G11"/>
    </sheetView>
  </sheetViews>
  <sheetFormatPr defaultRowHeight="14.4" x14ac:dyDescent="0.3"/>
  <cols>
    <col min="1" max="1" width="1.88671875" customWidth="1"/>
    <col min="2" max="2" width="29.5546875" bestFit="1" customWidth="1"/>
    <col min="3" max="3" width="5.33203125" customWidth="1"/>
    <col min="4" max="4" width="15.44140625" customWidth="1"/>
    <col min="5" max="5" width="10.21875" bestFit="1" customWidth="1"/>
    <col min="6" max="6" width="10.6640625" bestFit="1" customWidth="1"/>
    <col min="7" max="7" width="10.21875" bestFit="1" customWidth="1"/>
  </cols>
  <sheetData>
    <row r="2" spans="2:10" ht="21" x14ac:dyDescent="0.4">
      <c r="B2" s="19" t="s">
        <v>87</v>
      </c>
      <c r="C2" s="19"/>
      <c r="D2" s="19"/>
      <c r="E2" s="19"/>
      <c r="F2" s="19"/>
      <c r="G2" s="19"/>
      <c r="H2" s="19"/>
      <c r="I2" s="19"/>
      <c r="J2" s="19"/>
    </row>
    <row r="5" spans="2:10" ht="15.6" x14ac:dyDescent="0.3">
      <c r="B5" s="20" t="s">
        <v>88</v>
      </c>
      <c r="C5" s="20"/>
      <c r="D5" s="20"/>
      <c r="E5" s="20"/>
      <c r="F5" s="20"/>
      <c r="G5" s="20"/>
      <c r="H5" s="20"/>
      <c r="I5" s="20"/>
      <c r="J5" s="20"/>
    </row>
    <row r="6" spans="2:10" ht="28.8" x14ac:dyDescent="0.3">
      <c r="B6" s="14" t="s">
        <v>89</v>
      </c>
      <c r="C6" s="15"/>
      <c r="D6" s="16" t="s">
        <v>95</v>
      </c>
      <c r="E6" s="17" t="s">
        <v>96</v>
      </c>
      <c r="F6" s="17" t="s">
        <v>97</v>
      </c>
      <c r="G6" s="17" t="s">
        <v>98</v>
      </c>
      <c r="H6" s="15"/>
      <c r="I6" s="15"/>
      <c r="J6" s="15"/>
    </row>
    <row r="7" spans="2:10" x14ac:dyDescent="0.3">
      <c r="B7" t="s">
        <v>90</v>
      </c>
      <c r="D7" s="8">
        <f>Acquirer!D6</f>
        <v>20290</v>
      </c>
      <c r="E7" s="8">
        <f>Target!D6</f>
        <v>19151.59</v>
      </c>
      <c r="F7" s="7">
        <v>0</v>
      </c>
      <c r="G7" s="8">
        <f>SUM(D7:F7)</f>
        <v>39441.589999999997</v>
      </c>
    </row>
    <row r="8" spans="2:10" x14ac:dyDescent="0.3">
      <c r="B8" t="s">
        <v>91</v>
      </c>
      <c r="D8" s="8">
        <f>Acquirer!D8</f>
        <v>1552</v>
      </c>
      <c r="E8" s="8">
        <f>Target!D8</f>
        <v>2440.9</v>
      </c>
      <c r="F8" s="8">
        <f>Adjustment!D10</f>
        <v>-2581.7924343999998</v>
      </c>
      <c r="G8" s="8">
        <f>SUM(D8:F8)</f>
        <v>1411.1075656000003</v>
      </c>
    </row>
    <row r="9" spans="2:10" x14ac:dyDescent="0.3">
      <c r="B9" t="s">
        <v>92</v>
      </c>
      <c r="D9" s="8">
        <f>Acquirer!D10</f>
        <v>98.95</v>
      </c>
      <c r="E9" s="8">
        <f>Target!D10</f>
        <v>24.08</v>
      </c>
      <c r="F9" s="8">
        <f>Purchase!D22</f>
        <v>44.676001774360486</v>
      </c>
      <c r="G9" s="8">
        <f>D9+F9</f>
        <v>143.62600177436047</v>
      </c>
    </row>
    <row r="10" spans="2:10" x14ac:dyDescent="0.3">
      <c r="B10" t="s">
        <v>44</v>
      </c>
      <c r="D10" s="8">
        <f>Acquirer!D16</f>
        <v>15.684689236988378</v>
      </c>
      <c r="E10" s="8">
        <f>Target!D17</f>
        <v>101.36627906976746</v>
      </c>
      <c r="F10" s="7">
        <v>0</v>
      </c>
      <c r="G10" s="6">
        <f>G8/G9</f>
        <v>9.8248753579931893</v>
      </c>
    </row>
    <row r="11" spans="2:10" x14ac:dyDescent="0.3">
      <c r="B11" t="s">
        <v>93</v>
      </c>
      <c r="D11" s="7"/>
      <c r="E11" s="7"/>
      <c r="F11" s="7"/>
      <c r="G11" s="18">
        <f>(G10/Acquirer!D17-1)</f>
        <v>-0.36966127428293705</v>
      </c>
    </row>
    <row r="12" spans="2:10" x14ac:dyDescent="0.3">
      <c r="B12" t="s">
        <v>94</v>
      </c>
      <c r="D12" s="7"/>
      <c r="E12" s="7"/>
      <c r="F12" s="7"/>
      <c r="G12" s="8">
        <f>G10-Acquirer!D17</f>
        <v>-5.7617845712640108</v>
      </c>
    </row>
  </sheetData>
  <mergeCells count="2">
    <mergeCell ref="B2:J2"/>
    <mergeCell ref="B5:J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F278-E6A7-4B6A-86E5-D0D21A4098A7}">
  <sheetPr>
    <tabColor theme="3" tint="0.249977111117893"/>
  </sheetPr>
  <dimension ref="B2:J10"/>
  <sheetViews>
    <sheetView showGridLines="0" workbookViewId="0">
      <selection activeCell="D12" sqref="D12"/>
    </sheetView>
  </sheetViews>
  <sheetFormatPr defaultRowHeight="14.4" x14ac:dyDescent="0.3"/>
  <cols>
    <col min="1" max="1" width="1.88671875" customWidth="1"/>
    <col min="2" max="2" width="24.6640625" bestFit="1" customWidth="1"/>
    <col min="3" max="3" width="3.5546875" customWidth="1"/>
  </cols>
  <sheetData>
    <row r="2" spans="2:10" ht="21" x14ac:dyDescent="0.4">
      <c r="B2" s="19" t="s">
        <v>99</v>
      </c>
      <c r="C2" s="19"/>
      <c r="D2" s="19"/>
      <c r="E2" s="19"/>
      <c r="F2" s="19"/>
      <c r="G2" s="19"/>
      <c r="H2" s="19"/>
      <c r="I2" s="19"/>
      <c r="J2" s="19"/>
    </row>
    <row r="5" spans="2:10" ht="15.6" x14ac:dyDescent="0.3">
      <c r="B5" s="20" t="s">
        <v>100</v>
      </c>
      <c r="C5" s="20"/>
      <c r="D5" s="20"/>
      <c r="E5" s="20"/>
      <c r="F5" s="20"/>
      <c r="G5" s="20"/>
      <c r="H5" s="20"/>
      <c r="I5" s="20"/>
      <c r="J5" s="20"/>
    </row>
    <row r="6" spans="2:10" x14ac:dyDescent="0.3">
      <c r="B6" t="s">
        <v>101</v>
      </c>
      <c r="D6" s="8">
        <f>Acquirer!D16</f>
        <v>15.684689236988378</v>
      </c>
    </row>
    <row r="7" spans="2:10" x14ac:dyDescent="0.3">
      <c r="B7" t="s">
        <v>102</v>
      </c>
      <c r="D7" s="6">
        <f>'Pro Forma'!G10</f>
        <v>9.8248753579931893</v>
      </c>
    </row>
    <row r="8" spans="2:10" x14ac:dyDescent="0.3">
      <c r="B8" t="s">
        <v>93</v>
      </c>
      <c r="D8" s="18">
        <f>'Pro Forma'!G11</f>
        <v>-0.36966127428293705</v>
      </c>
    </row>
    <row r="9" spans="2:10" x14ac:dyDescent="0.3">
      <c r="B9" t="s">
        <v>103</v>
      </c>
      <c r="D9" s="8">
        <f>'Pro Forma'!G12</f>
        <v>-5.7617845712640108</v>
      </c>
    </row>
    <row r="10" spans="2:10" x14ac:dyDescent="0.3">
      <c r="B10" s="11" t="s">
        <v>104</v>
      </c>
      <c r="C10" s="11"/>
      <c r="D10" s="11" t="str">
        <f>IF(D8&gt;0,"Accretion","Dilution")</f>
        <v>Dilution</v>
      </c>
    </row>
  </sheetData>
  <mergeCells count="2">
    <mergeCell ref="B2:J2"/>
    <mergeCell ref="B5:J5"/>
  </mergeCells>
  <conditionalFormatting sqref="D10">
    <cfRule type="containsText" dxfId="1" priority="1" operator="containsText" text="Dilution">
      <formula>NOT(ISERROR(SEARCH("Dilution",D10)))</formula>
    </cfRule>
    <cfRule type="containsText" dxfId="0" priority="2" operator="containsText" text="Accretion">
      <formula>NOT(ISERROR(SEARCH("Accretion",D10)))</formula>
    </cfRule>
    <cfRule type="colorScale" priority="3">
      <colorScale>
        <cfvo type="percent" val="$D$8&lt;0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Acquirer</vt:lpstr>
      <vt:lpstr>Target</vt:lpstr>
      <vt:lpstr>Purchase</vt:lpstr>
      <vt:lpstr>Financing</vt:lpstr>
      <vt:lpstr>Adjustment</vt:lpstr>
      <vt:lpstr>Pro Forma</vt:lpstr>
      <vt:lpstr>Accretion-Dilution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acharya</dc:creator>
  <cp:lastModifiedBy>sneha acharya</cp:lastModifiedBy>
  <cp:lastPrinted>2026-09-19T14:28:18Z</cp:lastPrinted>
  <dcterms:created xsi:type="dcterms:W3CDTF">2026-09-17T13:27:33Z</dcterms:created>
  <dcterms:modified xsi:type="dcterms:W3CDTF">2026-10-03T04:15:47Z</dcterms:modified>
</cp:coreProperties>
</file>